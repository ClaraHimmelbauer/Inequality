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-my.sharepoint.com/personal/clara_himmelbauer_wu_ac_at/Documents/Dokumente/teaching/Inequality/"/>
    </mc:Choice>
  </mc:AlternateContent>
  <xr:revisionPtr revIDLastSave="0" documentId="8_{40614486-DCF1-4ECD-86F1-878310DE9D6F}" xr6:coauthVersionLast="47" xr6:coauthVersionMax="47" xr10:uidLastSave="{00000000-0000-0000-0000-000000000000}"/>
  <bookViews>
    <workbookView xWindow="-120" yWindow="-120" windowWidth="29040" windowHeight="17520" xr2:uid="{10338380-F01F-4903-93F8-F9685EF9B3A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H9" i="1"/>
  <c r="L9" i="1" s="1"/>
  <c r="I9" i="1"/>
  <c r="J9" i="1"/>
  <c r="K9" i="1"/>
  <c r="K10" i="1"/>
  <c r="H11" i="1"/>
  <c r="L11" i="1" s="1"/>
  <c r="I11" i="1"/>
  <c r="J11" i="1"/>
  <c r="K11" i="1"/>
  <c r="J13" i="1"/>
  <c r="K13" i="1"/>
  <c r="K16" i="1"/>
  <c r="H17" i="1"/>
  <c r="I17" i="1"/>
  <c r="J17" i="1"/>
  <c r="L17" i="1" s="1"/>
  <c r="K17" i="1"/>
  <c r="K18" i="1"/>
  <c r="I7" i="1"/>
  <c r="J7" i="1"/>
  <c r="K7" i="1"/>
  <c r="H7" i="1"/>
  <c r="L7" i="1" s="1"/>
  <c r="G8" i="1"/>
  <c r="H8" i="1" s="1"/>
  <c r="G9" i="1"/>
  <c r="G10" i="1"/>
  <c r="H10" i="1" s="1"/>
  <c r="G11" i="1"/>
  <c r="G12" i="1"/>
  <c r="H12" i="1" s="1"/>
  <c r="G13" i="1"/>
  <c r="H13" i="1" s="1"/>
  <c r="G14" i="1"/>
  <c r="H14" i="1" s="1"/>
  <c r="G15" i="1"/>
  <c r="I15" i="1" s="1"/>
  <c r="G16" i="1"/>
  <c r="H16" i="1" s="1"/>
  <c r="G17" i="1"/>
  <c r="G18" i="1"/>
  <c r="H18" i="1" s="1"/>
  <c r="G7" i="1"/>
  <c r="L16" i="1" l="1"/>
  <c r="L14" i="1"/>
  <c r="L10" i="1"/>
  <c r="H15" i="1"/>
  <c r="L15" i="1" s="1"/>
  <c r="J18" i="1"/>
  <c r="J16" i="1"/>
  <c r="J14" i="1"/>
  <c r="J12" i="1"/>
  <c r="J10" i="1"/>
  <c r="J8" i="1"/>
  <c r="K12" i="1"/>
  <c r="I18" i="1"/>
  <c r="L18" i="1" s="1"/>
  <c r="I16" i="1"/>
  <c r="I14" i="1"/>
  <c r="I12" i="1"/>
  <c r="L12" i="1" s="1"/>
  <c r="I10" i="1"/>
  <c r="I8" i="1"/>
  <c r="L8" i="1" s="1"/>
  <c r="K15" i="1"/>
  <c r="J15" i="1"/>
  <c r="I13" i="1"/>
  <c r="L13" i="1" s="1"/>
  <c r="K14" i="1"/>
</calcChain>
</file>

<file path=xl/sharedStrings.xml><?xml version="1.0" encoding="utf-8"?>
<sst xmlns="http://schemas.openxmlformats.org/spreadsheetml/2006/main" count="43" uniqueCount="15">
  <si>
    <t>Höchste abgeschlossene Bildung der Mutter oder des jüngeren Elternteils (Ebene +1)</t>
  </si>
  <si>
    <t>Pflichtschule</t>
  </si>
  <si>
    <t>Lehrabschluss</t>
  </si>
  <si>
    <t>Mittlere und höhere Schule</t>
  </si>
  <si>
    <t>Hochschule und Akademie</t>
  </si>
  <si>
    <t>Unbekannt</t>
  </si>
  <si>
    <t>Entfällt</t>
  </si>
  <si>
    <t>Filter: Personen 25-44 Jahre</t>
  </si>
  <si>
    <t>Höchste abgeschlossene Bildung des Vaters oder des älteren Elternteils (Ebene +1)</t>
  </si>
  <si>
    <t>Summe</t>
  </si>
  <si>
    <t>Prozent</t>
  </si>
  <si>
    <t>Absolute Zahlen</t>
  </si>
  <si>
    <t>Mama Pflichtschule</t>
  </si>
  <si>
    <t>Kind Pflichtschule</t>
  </si>
  <si>
    <t>Papa Pflichtschule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</si>
</sst>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0" borderId="0">
      <protection locked="0"/>
    </xf>
    <xf numFmtId="0" fontId="3" fillId="2" borderId="0">
      <protection locked="0"/>
    </xf>
    <xf numFmtId="0" fontId="3" fillId="3" borderId="1">
      <alignment horizontal="center" vertical="center"/>
      <protection locked="0"/>
    </xf>
    <xf numFmtId="0" fontId="3" fillId="4" borderId="0">
      <protection locked="0"/>
    </xf>
    <xf numFmtId="0" fontId="4" fillId="3" borderId="0">
      <alignment vertical="center"/>
      <protection locked="0"/>
    </xf>
    <xf numFmtId="0" fontId="4" fillId="0" borderId="0">
      <protection locked="0"/>
    </xf>
    <xf numFmtId="0" fontId="5" fillId="0" borderId="0">
      <protection locked="0"/>
    </xf>
    <xf numFmtId="0" fontId="3" fillId="3" borderId="2">
      <alignment vertical="center"/>
      <protection locked="0"/>
    </xf>
    <xf numFmtId="0" fontId="3" fillId="2" borderId="0">
      <protection locked="0"/>
    </xf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</cellXfs>
  <cellStyles count="11">
    <cellStyle name="cells" xfId="3" xr:uid="{383ABD15-556F-484B-94CA-7C583826A523}"/>
    <cellStyle name="column field" xfId="4" xr:uid="{7AF377E3-4854-464B-8237-A9B6E0E0F5EB}"/>
    <cellStyle name="field" xfId="5" xr:uid="{0EF95925-1885-4ACC-AD8D-90DBF2B46B2A}"/>
    <cellStyle name="field names" xfId="6" xr:uid="{DB1497C5-7E7E-485F-9571-ED60B07E9962}"/>
    <cellStyle name="footer" xfId="7" xr:uid="{97776D06-D48B-4E85-96E7-26E4E6508F7E}"/>
    <cellStyle name="heading" xfId="8" xr:uid="{11DC284B-0F57-407C-8F7F-448103542BD4}"/>
    <cellStyle name="Prozent" xfId="1" builtinId="5"/>
    <cellStyle name="rowfield" xfId="9" xr:uid="{8D988193-0C41-4DF5-AA65-651B14B7ADB2}"/>
    <cellStyle name="Standard" xfId="0" builtinId="0"/>
    <cellStyle name="Standard 2" xfId="2" xr:uid="{FD004A8A-F9C5-4AC3-8E76-2EDF7949CC88}"/>
    <cellStyle name="Test" xfId="10" xr:uid="{37043231-88C7-4238-A221-BC60B4C874CE}"/>
  </cellStyles>
  <dxfs count="0"/>
  <tableStyles count="0" defaultTableStyle="TableStyleMedium2" defaultPivotStyle="PivotStyleLight16"/>
  <colors>
    <mruColors>
      <color rgb="FF56492D"/>
      <color rgb="FF96804F"/>
      <color rgb="FFEBDBB8"/>
      <color rgb="FFE7D3AA"/>
      <color rgb="FFD7B772"/>
      <color rgb="FF8BA0D8"/>
      <color rgb="FFCDD6EE"/>
      <color rgb="FF9CAEDE"/>
      <color rgb="FF364878"/>
      <color rgb="FF5A7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Tabelle1!$B$23</c:f>
              <c:strCache>
                <c:ptCount val="1"/>
                <c:pt idx="0">
                  <c:v>Pflichtschule</c:v>
                </c:pt>
              </c:strCache>
            </c:strRef>
          </c:tx>
          <c:spPr>
            <a:solidFill>
              <a:srgbClr val="364878"/>
            </a:solidFill>
            <a:ln>
              <a:noFill/>
            </a:ln>
            <a:effectLst/>
          </c:spPr>
          <c:invertIfNegative val="0"/>
          <c:cat>
            <c:strRef>
              <c:f>Tabelle1!$C$22:$F$22</c:f>
              <c:strCache>
                <c:ptCount val="4"/>
                <c:pt idx="0">
                  <c:v>Pflichtschule</c:v>
                </c:pt>
                <c:pt idx="1">
                  <c:v>Lehrabschluss</c:v>
                </c:pt>
                <c:pt idx="2">
                  <c:v>Mittlere und höhere Schule</c:v>
                </c:pt>
                <c:pt idx="3">
                  <c:v>Hochschule und Akademie</c:v>
                </c:pt>
              </c:strCache>
            </c:strRef>
          </c:cat>
          <c:val>
            <c:numRef>
              <c:f>Tabelle1!$C$23:$F$23</c:f>
              <c:numCache>
                <c:formatCode>0%</c:formatCode>
                <c:ptCount val="4"/>
                <c:pt idx="0">
                  <c:v>0.22853607573511386</c:v>
                </c:pt>
                <c:pt idx="1">
                  <c:v>9.0248891560040276E-2</c:v>
                </c:pt>
                <c:pt idx="2">
                  <c:v>6.3166623983219303E-2</c:v>
                </c:pt>
                <c:pt idx="3">
                  <c:v>4.4610447682676628E-2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C-41A8-ADA3-D3961027078B}"/>
            </c:ext>
          </c:extLst>
        </c:ser>
        <c:ser>
          <c:idx val="1"/>
          <c:order val="1"/>
          <c:tx>
            <c:strRef>
              <c:f>Tabelle1!$B$24</c:f>
              <c:strCache>
                <c:ptCount val="1"/>
                <c:pt idx="0">
                  <c:v>Lehrabschluss</c:v>
                </c:pt>
              </c:strCache>
            </c:strRef>
          </c:tx>
          <c:spPr>
            <a:solidFill>
              <a:srgbClr val="5A78C8"/>
            </a:solidFill>
            <a:ln>
              <a:noFill/>
            </a:ln>
            <a:effectLst/>
          </c:spPr>
          <c:invertIfNegative val="0"/>
          <c:cat>
            <c:strRef>
              <c:f>Tabelle1!$C$22:$F$22</c:f>
              <c:strCache>
                <c:ptCount val="4"/>
                <c:pt idx="0">
                  <c:v>Pflichtschule</c:v>
                </c:pt>
                <c:pt idx="1">
                  <c:v>Lehrabschluss</c:v>
                </c:pt>
                <c:pt idx="2">
                  <c:v>Mittlere und höhere Schule</c:v>
                </c:pt>
                <c:pt idx="3">
                  <c:v>Hochschule und Akademie</c:v>
                </c:pt>
              </c:strCache>
            </c:strRef>
          </c:cat>
          <c:val>
            <c:numRef>
              <c:f>Tabelle1!$C$24:$F$24</c:f>
              <c:numCache>
                <c:formatCode>0%</c:formatCode>
                <c:ptCount val="4"/>
                <c:pt idx="0">
                  <c:v>0.39169691946723945</c:v>
                </c:pt>
                <c:pt idx="1">
                  <c:v>0.38087894939398254</c:v>
                </c:pt>
                <c:pt idx="2">
                  <c:v>0.21528067415456287</c:v>
                </c:pt>
                <c:pt idx="3">
                  <c:v>7.3609869009416587E-2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C-41A8-ADA3-D3961027078B}"/>
            </c:ext>
          </c:extLst>
        </c:ser>
        <c:ser>
          <c:idx val="2"/>
          <c:order val="2"/>
          <c:tx>
            <c:strRef>
              <c:f>Tabelle1!$B$25</c:f>
              <c:strCache>
                <c:ptCount val="1"/>
                <c:pt idx="0">
                  <c:v>Mittlere und höhere Schule</c:v>
                </c:pt>
              </c:strCache>
            </c:strRef>
          </c:tx>
          <c:spPr>
            <a:solidFill>
              <a:srgbClr val="8BA0D8"/>
            </a:solidFill>
            <a:ln>
              <a:noFill/>
            </a:ln>
            <a:effectLst/>
          </c:spPr>
          <c:invertIfNegative val="0"/>
          <c:cat>
            <c:strRef>
              <c:f>Tabelle1!$C$22:$F$22</c:f>
              <c:strCache>
                <c:ptCount val="4"/>
                <c:pt idx="0">
                  <c:v>Pflichtschule</c:v>
                </c:pt>
                <c:pt idx="1">
                  <c:v>Lehrabschluss</c:v>
                </c:pt>
                <c:pt idx="2">
                  <c:v>Mittlere und höhere Schule</c:v>
                </c:pt>
                <c:pt idx="3">
                  <c:v>Hochschule und Akademie</c:v>
                </c:pt>
              </c:strCache>
            </c:strRef>
          </c:cat>
          <c:val>
            <c:numRef>
              <c:f>Tabelle1!$C$25:$F$25</c:f>
              <c:numCache>
                <c:formatCode>0%</c:formatCode>
                <c:ptCount val="4"/>
                <c:pt idx="0">
                  <c:v>0.26936860167859267</c:v>
                </c:pt>
                <c:pt idx="1">
                  <c:v>0.34544313874346932</c:v>
                </c:pt>
                <c:pt idx="2">
                  <c:v>0.38279491213307482</c:v>
                </c:pt>
                <c:pt idx="3">
                  <c:v>0.2920721763375243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EC-41A8-ADA3-D3961027078B}"/>
            </c:ext>
          </c:extLst>
        </c:ser>
        <c:ser>
          <c:idx val="3"/>
          <c:order val="3"/>
          <c:tx>
            <c:strRef>
              <c:f>Tabelle1!$B$26</c:f>
              <c:strCache>
                <c:ptCount val="1"/>
                <c:pt idx="0">
                  <c:v>Hochschule und Akademie</c:v>
                </c:pt>
              </c:strCache>
            </c:strRef>
          </c:tx>
          <c:spPr>
            <a:solidFill>
              <a:srgbClr val="CDD6EE"/>
            </a:solidFill>
            <a:ln>
              <a:noFill/>
            </a:ln>
            <a:effectLst/>
          </c:spPr>
          <c:invertIfNegative val="0"/>
          <c:cat>
            <c:strRef>
              <c:f>Tabelle1!$C$22:$F$22</c:f>
              <c:strCache>
                <c:ptCount val="4"/>
                <c:pt idx="0">
                  <c:v>Pflichtschule</c:v>
                </c:pt>
                <c:pt idx="1">
                  <c:v>Lehrabschluss</c:v>
                </c:pt>
                <c:pt idx="2">
                  <c:v>Mittlere und höhere Schule</c:v>
                </c:pt>
                <c:pt idx="3">
                  <c:v>Hochschule und Akademie</c:v>
                </c:pt>
              </c:strCache>
            </c:strRef>
          </c:cat>
          <c:val>
            <c:numRef>
              <c:f>Tabelle1!$C$26:$F$26</c:f>
              <c:numCache>
                <c:formatCode>0%</c:formatCode>
                <c:ptCount val="4"/>
                <c:pt idx="0">
                  <c:v>0.11039840311905401</c:v>
                </c:pt>
                <c:pt idx="1">
                  <c:v>0.18342902030250791</c:v>
                </c:pt>
                <c:pt idx="2">
                  <c:v>0.33875778972914306</c:v>
                </c:pt>
                <c:pt idx="3">
                  <c:v>0.58970750697038243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EC-41A8-ADA3-D39610270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7386063"/>
        <c:axId val="1447383663"/>
      </c:barChart>
      <c:catAx>
        <c:axId val="144738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de-AT" sz="1600" b="1"/>
                  <a:t>Bildungsabschluss Mutter / jüngerer Elternteil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de-DE"/>
          </a:p>
        </c:txPr>
        <c:crossAx val="1447383663"/>
        <c:crosses val="autoZero"/>
        <c:auto val="1"/>
        <c:lblAlgn val="ctr"/>
        <c:lblOffset val="100"/>
        <c:noMultiLvlLbl val="0"/>
      </c:catAx>
      <c:valAx>
        <c:axId val="1447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de-DE"/>
          </a:p>
        </c:txPr>
        <c:crossAx val="144738606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Tabelle1!$B$30</c:f>
              <c:strCache>
                <c:ptCount val="1"/>
                <c:pt idx="0">
                  <c:v>Pflichtschule</c:v>
                </c:pt>
              </c:strCache>
            </c:strRef>
          </c:tx>
          <c:spPr>
            <a:solidFill>
              <a:srgbClr val="56492D"/>
            </a:solidFill>
            <a:ln>
              <a:noFill/>
            </a:ln>
            <a:effectLst/>
          </c:spPr>
          <c:invertIfNegative val="0"/>
          <c:cat>
            <c:strRef>
              <c:f>Tabelle1!$C$22:$F$22</c:f>
              <c:strCache>
                <c:ptCount val="4"/>
                <c:pt idx="0">
                  <c:v>Pflichtschule</c:v>
                </c:pt>
                <c:pt idx="1">
                  <c:v>Lehrabschluss</c:v>
                </c:pt>
                <c:pt idx="2">
                  <c:v>Mittlere und höhere Schule</c:v>
                </c:pt>
                <c:pt idx="3">
                  <c:v>Hochschule und Akademie</c:v>
                </c:pt>
              </c:strCache>
            </c:strRef>
          </c:cat>
          <c:val>
            <c:numRef>
              <c:f>Tabelle1!$C$30:$F$30</c:f>
              <c:numCache>
                <c:formatCode>0%</c:formatCode>
                <c:ptCount val="4"/>
                <c:pt idx="0">
                  <c:v>0.28389601638581535</c:v>
                </c:pt>
                <c:pt idx="1">
                  <c:v>0.10444776419405886</c:v>
                </c:pt>
                <c:pt idx="2">
                  <c:v>6.0700198746369054E-2</c:v>
                </c:pt>
                <c:pt idx="3">
                  <c:v>4.6588877693632791E-2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6-4479-AAF7-F480FDCA8681}"/>
            </c:ext>
          </c:extLst>
        </c:ser>
        <c:ser>
          <c:idx val="1"/>
          <c:order val="1"/>
          <c:tx>
            <c:strRef>
              <c:f>Tabelle1!$B$31</c:f>
              <c:strCache>
                <c:ptCount val="1"/>
                <c:pt idx="0">
                  <c:v>Lehrabschluss</c:v>
                </c:pt>
              </c:strCache>
            </c:strRef>
          </c:tx>
          <c:spPr>
            <a:solidFill>
              <a:srgbClr val="96804F"/>
            </a:solidFill>
            <a:ln>
              <a:noFill/>
            </a:ln>
            <a:effectLst/>
          </c:spPr>
          <c:invertIfNegative val="0"/>
          <c:cat>
            <c:strRef>
              <c:f>Tabelle1!$C$22:$F$22</c:f>
              <c:strCache>
                <c:ptCount val="4"/>
                <c:pt idx="0">
                  <c:v>Pflichtschule</c:v>
                </c:pt>
                <c:pt idx="1">
                  <c:v>Lehrabschluss</c:v>
                </c:pt>
                <c:pt idx="2">
                  <c:v>Mittlere und höhere Schule</c:v>
                </c:pt>
                <c:pt idx="3">
                  <c:v>Hochschule und Akademie</c:v>
                </c:pt>
              </c:strCache>
            </c:strRef>
          </c:cat>
          <c:val>
            <c:numRef>
              <c:f>Tabelle1!$C$31:$F$31</c:f>
              <c:numCache>
                <c:formatCode>0%</c:formatCode>
                <c:ptCount val="4"/>
                <c:pt idx="0">
                  <c:v>0.35266937980972346</c:v>
                </c:pt>
                <c:pt idx="1">
                  <c:v>0.38455419301978166</c:v>
                </c:pt>
                <c:pt idx="2">
                  <c:v>0.20594710288946644</c:v>
                </c:pt>
                <c:pt idx="3">
                  <c:v>7.0016576201774622E-2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6-4479-AAF7-F480FDCA8681}"/>
            </c:ext>
          </c:extLst>
        </c:ser>
        <c:ser>
          <c:idx val="2"/>
          <c:order val="2"/>
          <c:tx>
            <c:strRef>
              <c:f>Tabelle1!$B$32</c:f>
              <c:strCache>
                <c:ptCount val="1"/>
                <c:pt idx="0">
                  <c:v>Mittlere und höhere Schule</c:v>
                </c:pt>
              </c:strCache>
            </c:strRef>
          </c:tx>
          <c:spPr>
            <a:solidFill>
              <a:srgbClr val="D7B772"/>
            </a:solidFill>
            <a:ln>
              <a:noFill/>
            </a:ln>
            <a:effectLst/>
          </c:spPr>
          <c:invertIfNegative val="0"/>
          <c:cat>
            <c:strRef>
              <c:f>Tabelle1!$C$22:$F$22</c:f>
              <c:strCache>
                <c:ptCount val="4"/>
                <c:pt idx="0">
                  <c:v>Pflichtschule</c:v>
                </c:pt>
                <c:pt idx="1">
                  <c:v>Lehrabschluss</c:v>
                </c:pt>
                <c:pt idx="2">
                  <c:v>Mittlere und höhere Schule</c:v>
                </c:pt>
                <c:pt idx="3">
                  <c:v>Hochschule und Akademie</c:v>
                </c:pt>
              </c:strCache>
            </c:strRef>
          </c:cat>
          <c:val>
            <c:numRef>
              <c:f>Tabelle1!$C$32:$F$32</c:f>
              <c:numCache>
                <c:formatCode>0%</c:formatCode>
                <c:ptCount val="4"/>
                <c:pt idx="0">
                  <c:v>0.25556844981844046</c:v>
                </c:pt>
                <c:pt idx="1">
                  <c:v>0.33613146208473083</c:v>
                </c:pt>
                <c:pt idx="2">
                  <c:v>0.38898333588136369</c:v>
                </c:pt>
                <c:pt idx="3">
                  <c:v>0.28735333311665096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96-4479-AAF7-F480FDCA8681}"/>
            </c:ext>
          </c:extLst>
        </c:ser>
        <c:ser>
          <c:idx val="3"/>
          <c:order val="3"/>
          <c:tx>
            <c:strRef>
              <c:f>Tabelle1!$B$33</c:f>
              <c:strCache>
                <c:ptCount val="1"/>
                <c:pt idx="0">
                  <c:v>Hochschule und Akademie</c:v>
                </c:pt>
              </c:strCache>
            </c:strRef>
          </c:tx>
          <c:spPr>
            <a:solidFill>
              <a:srgbClr val="EBDBB8"/>
            </a:solidFill>
            <a:ln>
              <a:noFill/>
            </a:ln>
            <a:effectLst/>
          </c:spPr>
          <c:invertIfNegative val="0"/>
          <c:cat>
            <c:strRef>
              <c:f>Tabelle1!$C$22:$F$22</c:f>
              <c:strCache>
                <c:ptCount val="4"/>
                <c:pt idx="0">
                  <c:v>Pflichtschule</c:v>
                </c:pt>
                <c:pt idx="1">
                  <c:v>Lehrabschluss</c:v>
                </c:pt>
                <c:pt idx="2">
                  <c:v>Mittlere und höhere Schule</c:v>
                </c:pt>
                <c:pt idx="3">
                  <c:v>Hochschule und Akademie</c:v>
                </c:pt>
              </c:strCache>
            </c:strRef>
          </c:cat>
          <c:val>
            <c:numRef>
              <c:f>Tabelle1!$C$33:$F$33</c:f>
              <c:numCache>
                <c:formatCode>0%</c:formatCode>
                <c:ptCount val="4"/>
                <c:pt idx="0">
                  <c:v>0.10786615398602072</c:v>
                </c:pt>
                <c:pt idx="1">
                  <c:v>0.17486658070142866</c:v>
                </c:pt>
                <c:pt idx="2">
                  <c:v>0.34436936248280081</c:v>
                </c:pt>
                <c:pt idx="3">
                  <c:v>0.59604121298794166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96-4479-AAF7-F480FDCA8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7386063"/>
        <c:axId val="1447383663"/>
      </c:barChart>
      <c:catAx>
        <c:axId val="144738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de-AT" sz="1600" b="1"/>
                  <a:t>Bildungsabschluss Vater / älterer Elternteil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de-DE"/>
          </a:p>
        </c:txPr>
        <c:crossAx val="1447383663"/>
        <c:crosses val="autoZero"/>
        <c:auto val="1"/>
        <c:lblAlgn val="ctr"/>
        <c:lblOffset val="100"/>
        <c:noMultiLvlLbl val="0"/>
      </c:catAx>
      <c:valAx>
        <c:axId val="1447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de-DE"/>
          </a:p>
        </c:txPr>
        <c:crossAx val="144738606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514349</xdr:colOff>
      <xdr:row>20</xdr:row>
      <xdr:rowOff>33335</xdr:rowOff>
    </xdr:from>
    <xdr:to>
      <xdr:col>15</xdr:col>
      <xdr:colOff>178349</xdr:colOff>
      <xdr:row>54</xdr:row>
      <xdr:rowOff>36335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9385D71-6559-1361-5487-EA645FB39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180975</xdr:colOff>
      <xdr:row>20</xdr:row>
      <xdr:rowOff>38100</xdr:rowOff>
    </xdr:from>
    <xdr:to>
      <xdr:col>22</xdr:col>
      <xdr:colOff>606975</xdr:colOff>
      <xdr:row>54</xdr:row>
      <xdr:rowOff>41100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C75DFB6-8A33-4CAB-B63F-08C3499F4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7193-686F-44EE-B836-203434144526}">
  <dimension ref="A2:L35"/>
  <sheetViews>
    <sheetView tabSelected="1" workbookViewId="0">
      <selection activeCell="M60" sqref="M60"/>
    </sheetView>
  </sheetViews>
  <sheetFormatPr baseColWidth="10" defaultRowHeight="15" x14ac:dyDescent="0.25"/>
  <sheetData>
    <row r="2" spans="1:12" x14ac:dyDescent="0.25">
      <c r="A2" t="s">
        <v>7</v>
      </c>
    </row>
    <row r="5" spans="1:12" x14ac:dyDescent="0.25">
      <c r="C5" s="1" t="s">
        <v>11</v>
      </c>
      <c r="D5" s="1"/>
      <c r="E5" s="1"/>
      <c r="F5" s="1"/>
      <c r="G5" s="1"/>
      <c r="H5" s="1" t="s">
        <v>10</v>
      </c>
      <c r="I5" s="1"/>
      <c r="J5" s="1"/>
      <c r="K5" s="1"/>
      <c r="L5" s="1"/>
    </row>
    <row r="6" spans="1:12" x14ac:dyDescent="0.25">
      <c r="C6" t="s">
        <v>1</v>
      </c>
      <c r="D6" t="s">
        <v>2</v>
      </c>
      <c r="E6" t="s">
        <v>3</v>
      </c>
      <c r="F6" t="s">
        <v>4</v>
      </c>
      <c r="G6" t="s">
        <v>9</v>
      </c>
      <c r="H6" t="s">
        <v>13</v>
      </c>
      <c r="I6" t="s">
        <v>2</v>
      </c>
      <c r="J6" t="s">
        <v>3</v>
      </c>
      <c r="K6" t="s">
        <v>4</v>
      </c>
      <c r="L6" t="s">
        <v>9</v>
      </c>
    </row>
    <row r="7" spans="1:12" x14ac:dyDescent="0.25">
      <c r="A7" s="1" t="s">
        <v>0</v>
      </c>
      <c r="B7" t="s">
        <v>12</v>
      </c>
      <c r="C7">
        <v>78312</v>
      </c>
      <c r="D7">
        <v>134222</v>
      </c>
      <c r="E7">
        <v>92304</v>
      </c>
      <c r="F7">
        <v>37830</v>
      </c>
      <c r="G7">
        <f>SUM(C7:F7)</f>
        <v>342668</v>
      </c>
      <c r="H7" s="2">
        <f>C7/$G7</f>
        <v>0.22853607573511386</v>
      </c>
      <c r="I7" s="2">
        <f t="shared" ref="I7:K7" si="0">D7/$G7</f>
        <v>0.39169691946723945</v>
      </c>
      <c r="J7" s="2">
        <f t="shared" si="0"/>
        <v>0.26936860167859267</v>
      </c>
      <c r="K7" s="2">
        <f t="shared" si="0"/>
        <v>0.11039840311905401</v>
      </c>
      <c r="L7" s="2">
        <f>SUM(H7:K7)</f>
        <v>1</v>
      </c>
    </row>
    <row r="8" spans="1:12" x14ac:dyDescent="0.25">
      <c r="A8" s="1"/>
      <c r="B8" t="s">
        <v>2</v>
      </c>
      <c r="C8">
        <v>34237</v>
      </c>
      <c r="D8">
        <v>144491</v>
      </c>
      <c r="E8">
        <v>131048</v>
      </c>
      <c r="F8">
        <v>69586</v>
      </c>
      <c r="G8">
        <f t="shared" ref="G8:G18" si="1">SUM(C8:F8)</f>
        <v>379362</v>
      </c>
      <c r="H8" s="2">
        <f t="shared" ref="H8:H18" si="2">C8/$G8</f>
        <v>9.0248891560040276E-2</v>
      </c>
      <c r="I8" s="2">
        <f t="shared" ref="I8:I18" si="3">D8/$G8</f>
        <v>0.38087894939398254</v>
      </c>
      <c r="J8" s="2">
        <f t="shared" ref="J8:J18" si="4">E8/$G8</f>
        <v>0.34544313874346932</v>
      </c>
      <c r="K8" s="2">
        <f t="shared" ref="K8:K18" si="5">F8/$G8</f>
        <v>0.18342902030250791</v>
      </c>
      <c r="L8" s="2">
        <f t="shared" ref="L8:L18" si="6">SUM(H8:K8)</f>
        <v>1</v>
      </c>
    </row>
    <row r="9" spans="1:12" x14ac:dyDescent="0.25">
      <c r="A9" s="1"/>
      <c r="B9" t="s">
        <v>3</v>
      </c>
      <c r="C9">
        <v>25898</v>
      </c>
      <c r="D9">
        <v>88264</v>
      </c>
      <c r="E9">
        <v>156944</v>
      </c>
      <c r="F9">
        <v>138889</v>
      </c>
      <c r="G9">
        <f t="shared" si="1"/>
        <v>409995</v>
      </c>
      <c r="H9" s="2">
        <f t="shared" si="2"/>
        <v>6.3166623983219303E-2</v>
      </c>
      <c r="I9" s="2">
        <f t="shared" si="3"/>
        <v>0.21528067415456287</v>
      </c>
      <c r="J9" s="2">
        <f t="shared" si="4"/>
        <v>0.38279491213307482</v>
      </c>
      <c r="K9" s="2">
        <f t="shared" si="5"/>
        <v>0.33875778972914306</v>
      </c>
      <c r="L9" s="2">
        <f t="shared" si="6"/>
        <v>1</v>
      </c>
    </row>
    <row r="10" spans="1:12" x14ac:dyDescent="0.25">
      <c r="A10" s="1"/>
      <c r="B10" t="s">
        <v>4</v>
      </c>
      <c r="C10">
        <v>6784</v>
      </c>
      <c r="D10">
        <v>11194</v>
      </c>
      <c r="E10">
        <v>44416</v>
      </c>
      <c r="F10">
        <v>89678</v>
      </c>
      <c r="G10">
        <f t="shared" si="1"/>
        <v>152072</v>
      </c>
      <c r="H10" s="2">
        <f t="shared" si="2"/>
        <v>4.4610447682676628E-2</v>
      </c>
      <c r="I10" s="2">
        <f t="shared" si="3"/>
        <v>7.3609869009416587E-2</v>
      </c>
      <c r="J10" s="2">
        <f t="shared" si="4"/>
        <v>0.2920721763375243</v>
      </c>
      <c r="K10" s="2">
        <f t="shared" si="5"/>
        <v>0.58970750697038243</v>
      </c>
      <c r="L10" s="2">
        <f t="shared" si="6"/>
        <v>1</v>
      </c>
    </row>
    <row r="11" spans="1:12" x14ac:dyDescent="0.25">
      <c r="A11" s="1"/>
      <c r="B11" t="s">
        <v>5</v>
      </c>
      <c r="C11">
        <v>136828</v>
      </c>
      <c r="D11">
        <v>73845</v>
      </c>
      <c r="E11">
        <v>102012</v>
      </c>
      <c r="F11">
        <v>109168</v>
      </c>
      <c r="G11">
        <f t="shared" si="1"/>
        <v>421853</v>
      </c>
      <c r="H11" s="2">
        <f t="shared" si="2"/>
        <v>0.32434995128634858</v>
      </c>
      <c r="I11" s="2">
        <f t="shared" si="3"/>
        <v>0.17504912848788559</v>
      </c>
      <c r="J11" s="2">
        <f t="shared" si="4"/>
        <v>0.24181883262653103</v>
      </c>
      <c r="K11" s="2">
        <f t="shared" si="5"/>
        <v>0.25878208759923482</v>
      </c>
      <c r="L11" s="2">
        <f t="shared" si="6"/>
        <v>1</v>
      </c>
    </row>
    <row r="12" spans="1:12" x14ac:dyDescent="0.25">
      <c r="A12" s="1"/>
      <c r="B12" t="s">
        <v>6</v>
      </c>
      <c r="C12">
        <v>126808</v>
      </c>
      <c r="D12">
        <v>219279</v>
      </c>
      <c r="E12">
        <v>229451</v>
      </c>
      <c r="F12">
        <v>187746</v>
      </c>
      <c r="G12">
        <f t="shared" si="1"/>
        <v>763284</v>
      </c>
      <c r="H12" s="2">
        <f t="shared" si="2"/>
        <v>0.16613475456055676</v>
      </c>
      <c r="I12" s="2">
        <f t="shared" si="3"/>
        <v>0.28728363230462056</v>
      </c>
      <c r="J12" s="2">
        <f t="shared" si="4"/>
        <v>0.30061025778085221</v>
      </c>
      <c r="K12" s="2">
        <f t="shared" si="5"/>
        <v>0.24597135535397047</v>
      </c>
      <c r="L12" s="2">
        <f t="shared" si="6"/>
        <v>1</v>
      </c>
    </row>
    <row r="13" spans="1:12" x14ac:dyDescent="0.25">
      <c r="A13" s="1" t="s">
        <v>8</v>
      </c>
      <c r="B13" t="s">
        <v>14</v>
      </c>
      <c r="C13">
        <v>53086</v>
      </c>
      <c r="D13">
        <v>65946</v>
      </c>
      <c r="E13">
        <v>47789</v>
      </c>
      <c r="F13">
        <v>20170</v>
      </c>
      <c r="G13">
        <f t="shared" si="1"/>
        <v>186991</v>
      </c>
      <c r="H13" s="2">
        <f t="shared" si="2"/>
        <v>0.28389601638581535</v>
      </c>
      <c r="I13" s="2">
        <f t="shared" si="3"/>
        <v>0.35266937980972346</v>
      </c>
      <c r="J13" s="2">
        <f t="shared" si="4"/>
        <v>0.25556844981844046</v>
      </c>
      <c r="K13" s="2">
        <f t="shared" si="5"/>
        <v>0.10786615398602072</v>
      </c>
      <c r="L13" s="2">
        <f t="shared" si="6"/>
        <v>1</v>
      </c>
    </row>
    <row r="14" spans="1:12" x14ac:dyDescent="0.25">
      <c r="A14" s="1"/>
      <c r="B14" t="s">
        <v>2</v>
      </c>
      <c r="C14">
        <v>61317</v>
      </c>
      <c r="D14">
        <v>225756</v>
      </c>
      <c r="E14">
        <v>197329</v>
      </c>
      <c r="F14">
        <v>102657</v>
      </c>
      <c r="G14">
        <f t="shared" si="1"/>
        <v>587059</v>
      </c>
      <c r="H14" s="2">
        <f t="shared" si="2"/>
        <v>0.10444776419405886</v>
      </c>
      <c r="I14" s="2">
        <f t="shared" si="3"/>
        <v>0.38455419301978166</v>
      </c>
      <c r="J14" s="2">
        <f t="shared" si="4"/>
        <v>0.33613146208473083</v>
      </c>
      <c r="K14" s="2">
        <f t="shared" si="5"/>
        <v>0.17486658070142866</v>
      </c>
      <c r="L14" s="2">
        <f t="shared" si="6"/>
        <v>1</v>
      </c>
    </row>
    <row r="15" spans="1:12" x14ac:dyDescent="0.25">
      <c r="A15" s="1"/>
      <c r="B15" t="s">
        <v>3</v>
      </c>
      <c r="C15">
        <v>19852</v>
      </c>
      <c r="D15">
        <v>67355</v>
      </c>
      <c r="E15">
        <v>127217</v>
      </c>
      <c r="F15">
        <v>112626</v>
      </c>
      <c r="G15">
        <f t="shared" si="1"/>
        <v>327050</v>
      </c>
      <c r="H15" s="2">
        <f t="shared" si="2"/>
        <v>6.0700198746369054E-2</v>
      </c>
      <c r="I15" s="2">
        <f t="shared" si="3"/>
        <v>0.20594710288946644</v>
      </c>
      <c r="J15" s="2">
        <f t="shared" si="4"/>
        <v>0.38898333588136369</v>
      </c>
      <c r="K15" s="2">
        <f t="shared" si="5"/>
        <v>0.34436936248280081</v>
      </c>
      <c r="L15" s="2">
        <f t="shared" si="6"/>
        <v>1</v>
      </c>
    </row>
    <row r="16" spans="1:12" x14ac:dyDescent="0.25">
      <c r="A16" s="1"/>
      <c r="B16" t="s">
        <v>4</v>
      </c>
      <c r="C16">
        <v>7167</v>
      </c>
      <c r="D16">
        <v>10771</v>
      </c>
      <c r="E16">
        <v>44205</v>
      </c>
      <c r="F16">
        <v>91692</v>
      </c>
      <c r="G16">
        <f t="shared" si="1"/>
        <v>153835</v>
      </c>
      <c r="H16" s="2">
        <f t="shared" si="2"/>
        <v>4.6588877693632791E-2</v>
      </c>
      <c r="I16" s="2">
        <f t="shared" si="3"/>
        <v>7.0016576201774622E-2</v>
      </c>
      <c r="J16" s="2">
        <f t="shared" si="4"/>
        <v>0.28735333311665096</v>
      </c>
      <c r="K16" s="2">
        <f t="shared" si="5"/>
        <v>0.59604121298794166</v>
      </c>
      <c r="L16" s="2">
        <f t="shared" si="6"/>
        <v>1</v>
      </c>
    </row>
    <row r="17" spans="1:12" x14ac:dyDescent="0.25">
      <c r="A17" s="1"/>
      <c r="B17" t="s">
        <v>5</v>
      </c>
      <c r="C17">
        <v>140637</v>
      </c>
      <c r="D17">
        <v>82188</v>
      </c>
      <c r="E17">
        <v>110184</v>
      </c>
      <c r="F17">
        <v>118006</v>
      </c>
      <c r="G17">
        <f t="shared" si="1"/>
        <v>451015</v>
      </c>
      <c r="H17" s="2">
        <f t="shared" si="2"/>
        <v>0.31182333181823219</v>
      </c>
      <c r="I17" s="2">
        <f t="shared" si="3"/>
        <v>0.18222897242885491</v>
      </c>
      <c r="J17" s="2">
        <f t="shared" si="4"/>
        <v>0.2443022959325078</v>
      </c>
      <c r="K17" s="2">
        <f t="shared" si="5"/>
        <v>0.26164539982040508</v>
      </c>
      <c r="L17" s="2">
        <f t="shared" si="6"/>
        <v>1</v>
      </c>
    </row>
    <row r="18" spans="1:12" x14ac:dyDescent="0.25">
      <c r="A18" s="1"/>
      <c r="B18" t="s">
        <v>6</v>
      </c>
      <c r="C18">
        <v>126808</v>
      </c>
      <c r="D18">
        <v>219279</v>
      </c>
      <c r="E18">
        <v>229451</v>
      </c>
      <c r="F18">
        <v>187746</v>
      </c>
      <c r="G18">
        <f t="shared" si="1"/>
        <v>763284</v>
      </c>
      <c r="H18" s="2">
        <f t="shared" si="2"/>
        <v>0.16613475456055676</v>
      </c>
      <c r="I18" s="2">
        <f t="shared" si="3"/>
        <v>0.28728363230462056</v>
      </c>
      <c r="J18" s="2">
        <f t="shared" si="4"/>
        <v>0.30061025778085221</v>
      </c>
      <c r="K18" s="2">
        <f t="shared" si="5"/>
        <v>0.24597135535397047</v>
      </c>
      <c r="L18" s="2">
        <f t="shared" si="6"/>
        <v>1</v>
      </c>
    </row>
    <row r="22" spans="1:12" x14ac:dyDescent="0.25">
      <c r="B22" s="2"/>
      <c r="C22" s="2" t="s">
        <v>1</v>
      </c>
      <c r="D22" s="2" t="s">
        <v>2</v>
      </c>
      <c r="E22" s="2" t="s">
        <v>3</v>
      </c>
      <c r="F22" s="2" t="s">
        <v>4</v>
      </c>
    </row>
    <row r="23" spans="1:12" x14ac:dyDescent="0.25">
      <c r="B23" s="2" t="s">
        <v>1</v>
      </c>
      <c r="C23" s="2">
        <v>0.22853607573511386</v>
      </c>
      <c r="D23" s="2">
        <v>9.0248891560040276E-2</v>
      </c>
      <c r="E23" s="2">
        <v>6.3166623983219303E-2</v>
      </c>
      <c r="F23" s="2">
        <v>4.4610447682676628E-2</v>
      </c>
    </row>
    <row r="24" spans="1:12" x14ac:dyDescent="0.25">
      <c r="B24" s="2" t="s">
        <v>2</v>
      </c>
      <c r="C24" s="2">
        <v>0.39169691946723945</v>
      </c>
      <c r="D24" s="2">
        <v>0.38087894939398254</v>
      </c>
      <c r="E24" s="2">
        <v>0.21528067415456287</v>
      </c>
      <c r="F24" s="2">
        <v>7.3609869009416587E-2</v>
      </c>
    </row>
    <row r="25" spans="1:12" x14ac:dyDescent="0.25">
      <c r="B25" s="2" t="s">
        <v>3</v>
      </c>
      <c r="C25" s="2">
        <v>0.26936860167859267</v>
      </c>
      <c r="D25" s="2">
        <v>0.34544313874346932</v>
      </c>
      <c r="E25" s="2">
        <v>0.38279491213307482</v>
      </c>
      <c r="F25" s="2">
        <v>0.2920721763375243</v>
      </c>
    </row>
    <row r="26" spans="1:12" x14ac:dyDescent="0.25">
      <c r="B26" s="2" t="s">
        <v>4</v>
      </c>
      <c r="C26" s="2">
        <v>0.11039840311905401</v>
      </c>
      <c r="D26" s="2">
        <v>0.18342902030250791</v>
      </c>
      <c r="E26" s="2">
        <v>0.33875778972914306</v>
      </c>
      <c r="F26" s="2">
        <v>0.58970750697038243</v>
      </c>
    </row>
    <row r="27" spans="1:12" x14ac:dyDescent="0.25">
      <c r="B27" s="2"/>
      <c r="C27" s="2"/>
      <c r="D27" s="2"/>
      <c r="E27" s="2"/>
      <c r="F27" s="2"/>
    </row>
    <row r="28" spans="1:12" x14ac:dyDescent="0.25">
      <c r="B28" s="2"/>
      <c r="C28" s="2"/>
      <c r="D28" s="2"/>
      <c r="E28" s="2"/>
      <c r="F28" s="2"/>
    </row>
    <row r="29" spans="1:12" x14ac:dyDescent="0.25">
      <c r="B29" s="2"/>
      <c r="C29" s="2" t="s">
        <v>1</v>
      </c>
      <c r="D29" s="2" t="s">
        <v>2</v>
      </c>
      <c r="E29" s="2" t="s">
        <v>3</v>
      </c>
      <c r="F29" s="2" t="s">
        <v>4</v>
      </c>
    </row>
    <row r="30" spans="1:12" x14ac:dyDescent="0.25">
      <c r="B30" s="2" t="s">
        <v>1</v>
      </c>
      <c r="C30" s="2">
        <v>0.28389601638581535</v>
      </c>
      <c r="D30" s="2">
        <v>0.10444776419405886</v>
      </c>
      <c r="E30" s="2">
        <v>6.0700198746369054E-2</v>
      </c>
      <c r="F30" s="2">
        <v>4.6588877693632791E-2</v>
      </c>
    </row>
    <row r="31" spans="1:12" x14ac:dyDescent="0.25">
      <c r="B31" s="2" t="s">
        <v>2</v>
      </c>
      <c r="C31" s="2">
        <v>0.35266937980972346</v>
      </c>
      <c r="D31" s="2">
        <v>0.38455419301978166</v>
      </c>
      <c r="E31" s="2">
        <v>0.20594710288946644</v>
      </c>
      <c r="F31" s="2">
        <v>7.0016576201774622E-2</v>
      </c>
    </row>
    <row r="32" spans="1:12" x14ac:dyDescent="0.25">
      <c r="B32" s="2" t="s">
        <v>3</v>
      </c>
      <c r="C32" s="2">
        <v>0.25556844981844046</v>
      </c>
      <c r="D32" s="2">
        <v>0.33613146208473083</v>
      </c>
      <c r="E32" s="2">
        <v>0.38898333588136369</v>
      </c>
      <c r="F32" s="2">
        <v>0.28735333311665096</v>
      </c>
      <c r="G32" s="2"/>
    </row>
    <row r="33" spans="2:7" x14ac:dyDescent="0.25">
      <c r="B33" s="2" t="s">
        <v>4</v>
      </c>
      <c r="C33" s="2">
        <v>0.10786615398602072</v>
      </c>
      <c r="D33" s="2">
        <v>0.17486658070142866</v>
      </c>
      <c r="E33" s="2">
        <v>0.34436936248280081</v>
      </c>
      <c r="F33" s="2">
        <v>0.59604121298794166</v>
      </c>
      <c r="G33" s="2"/>
    </row>
    <row r="34" spans="2:7" x14ac:dyDescent="0.25">
      <c r="D34" s="2"/>
      <c r="E34" s="2"/>
      <c r="F34" s="2"/>
      <c r="G34" s="2"/>
    </row>
    <row r="35" spans="2:7" x14ac:dyDescent="0.25">
      <c r="D35" s="2"/>
      <c r="E35" s="2"/>
      <c r="F35" s="2"/>
      <c r="G35" s="2"/>
    </row>
  </sheetData>
  <mergeCells count="4">
    <mergeCell ref="A7:A12"/>
    <mergeCell ref="A13:A18"/>
    <mergeCell ref="C5:G5"/>
    <mergeCell ref="H5:L5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WU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Himmelbauer, Clara</dc:creator>
  <cp:lastModifiedBy>Himmelbauer, Clara</cp:lastModifiedBy>
  <dcterms:created xsi:type="dcterms:W3CDTF">2025-12-01T09:11:07Z</dcterms:created>
  <dcterms:modified xsi:type="dcterms:W3CDTF">2025-12-01T09:29:57Z</dcterms:modified>
</cp:coreProperties>
</file>